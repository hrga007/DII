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10sabi\Documents\"/>
    </mc:Choice>
  </mc:AlternateContent>
  <xr:revisionPtr revIDLastSave="0" documentId="13_ncr:1_{CD1BD75E-B383-4D4C-8ACC-8DF84DD0FEA2}" xr6:coauthVersionLast="47" xr6:coauthVersionMax="47" xr10:uidLastSave="{00000000-0000-0000-0000-000000000000}"/>
  <bookViews>
    <workbookView xWindow="-108" yWindow="-108" windowWidth="30936" windowHeight="16776" tabRatio="798" xr2:uid="{00000000-000D-0000-FFFF-FFFF00000000}"/>
  </bookViews>
  <sheets>
    <sheet name="Upute" sheetId="1" r:id="rId1"/>
    <sheet name="Opći podaci" sheetId="2" r:id="rId2"/>
    <sheet name="CAPEX infrastruktura" sheetId="3" r:id="rId3"/>
    <sheet name="Održavanje" sheetId="6" r:id="rId4"/>
    <sheet name="Operativni troškovi" sheetId="7" r:id="rId5"/>
    <sheet name="Licence i softver" sheetId="4" r:id="rId6"/>
    <sheet name="Cloud trošak po pružatelju" sheetId="9" r:id="rId7"/>
    <sheet name="Trenutno instalirani resursi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  <c r="C4" i="7"/>
  <c r="B3" i="3"/>
  <c r="F9" i="4" l="1"/>
  <c r="G9" i="4" s="1"/>
</calcChain>
</file>

<file path=xl/sharedStrings.xml><?xml version="1.0" encoding="utf-8"?>
<sst xmlns="http://schemas.openxmlformats.org/spreadsheetml/2006/main" count="139" uniqueCount="90">
  <si>
    <t>UPUTE ZA POPUNJAVANJE</t>
  </si>
  <si>
    <t>Molimo tijela obveznike Zakona o državnoj informacijskoj infrastrukturi (ZODII) da popune sve relevantne podatke za razdoblje 2024. – 2026. godine te planirane vrijednosti za 2026, 2027. i 2028. godinu ako postoje</t>
  </si>
  <si>
    <t>Svi iznosi upisuju se u eurima (EUR), bez PDV-a.</t>
  </si>
  <si>
    <t>U slučaju da pojedina stavka nije primjenjiva, molimo upisati vrijednost 0</t>
  </si>
  <si>
    <t>Ovaj dokument sastoji se od sljedećih listova:</t>
  </si>
  <si>
    <r>
      <t>Opći podaci</t>
    </r>
    <r>
      <rPr>
        <sz val="11"/>
        <color theme="1"/>
        <rFont val="Calibri"/>
        <family val="2"/>
        <scheme val="minor"/>
      </rPr>
      <t xml:space="preserve"> – osnovni podaci o tijelu obvezniku te lokacijama podatkovnih centara i/ili server soba</t>
    </r>
  </si>
  <si>
    <r>
      <rPr>
        <b/>
        <sz val="11"/>
        <color rgb="FF000000"/>
        <rFont val="Calibri"/>
        <family val="2"/>
        <charset val="238"/>
      </rPr>
      <t>CAPEX infrastruktura</t>
    </r>
    <r>
      <rPr>
        <sz val="11"/>
        <color rgb="FF000000"/>
        <rFont val="Calibri"/>
        <family val="2"/>
        <charset val="238"/>
      </rPr>
      <t xml:space="preserve"> – podaci o ulaganjima u IT infrastrukturu (serveri, sustavi za pohranu podataka, mrežna oprema, sigurnosni uređaji, sustavi hlađenja i dr.) - strogo kupnja uređaja</t>
    </r>
  </si>
  <si>
    <r>
      <t>Licence i softver</t>
    </r>
    <r>
      <rPr>
        <sz val="11"/>
        <color theme="1"/>
        <rFont val="Calibri"/>
        <family val="2"/>
        <scheme val="minor"/>
      </rPr>
      <t xml:space="preserve"> – troškovi licenci i softverskih rješenja potrebnih za rad infrastrukturnih sustava</t>
    </r>
  </si>
  <si>
    <r>
      <t>Održavanje</t>
    </r>
    <r>
      <rPr>
        <sz val="11"/>
        <color theme="1"/>
        <rFont val="Calibri"/>
        <family val="2"/>
        <scheme val="minor"/>
      </rPr>
      <t xml:space="preserve"> – troškovi održavanja IT infrastrukture i pripadajućih licenci</t>
    </r>
  </si>
  <si>
    <r>
      <t>Operativni troškovi</t>
    </r>
    <r>
      <rPr>
        <sz val="11"/>
        <color theme="1"/>
        <rFont val="Calibri"/>
        <family val="2"/>
        <scheme val="minor"/>
      </rPr>
      <t xml:space="preserve"> – troškovi povezani sa svakodnevnim funkcioniranjem podatkovnog centra ili server sobe (energija, prostor, WAN i dr.)</t>
    </r>
  </si>
  <si>
    <r>
      <rPr>
        <b/>
        <sz val="11"/>
        <color rgb="FF000000"/>
        <rFont val="Calibri"/>
        <family val="2"/>
        <charset val="238"/>
      </rPr>
      <t>Cloud trošak po provideru</t>
    </r>
    <r>
      <rPr>
        <sz val="11"/>
        <color rgb="FF000000"/>
        <rFont val="Calibri"/>
        <family val="2"/>
        <charset val="238"/>
      </rPr>
      <t xml:space="preserve"> - troškovi korištenja javnih i privatnih cloud usluga po pojedinom pružatelju usluge (npr. Microsoft Azure, AWS, Google Cloud, lokalni hosting pružatelji i dr. Ukuljučje i državne pružatelje usluga (APIS; FINA;CARNET, AKD), uključujući troškove infrastrukture kao usluge (IaaS), platforme kao usluge (PaaS), softvera kao usluge (SaaS), pohrane podataka, mrežnog prometa te ostalih povezanih cloud servisa</t>
    </r>
  </si>
  <si>
    <r>
      <rPr>
        <b/>
        <sz val="11"/>
        <color rgb="FF000000"/>
        <rFont val="Calibri"/>
        <family val="2"/>
        <charset val="238"/>
        <scheme val="minor"/>
      </rPr>
      <t>Trenutno instalirani resursi</t>
    </r>
    <r>
      <rPr>
        <sz val="11"/>
        <color rgb="FF000000"/>
        <rFont val="Calibri"/>
        <family val="2"/>
        <charset val="238"/>
        <scheme val="minor"/>
      </rPr>
      <t xml:space="preserve"> – pregled postojećih infrastrukturnih zauzeća te ukupnih mogućih kapaciteta(procjena)</t>
    </r>
  </si>
  <si>
    <t>Podaci prikupljeni putem ovog dokumenta koristit će se za planiranje razvoja državne informacijske infrastrukture, optimizaciju ulaganja te procjenu mogućnosti korištenja zajedničkih usluga Centra dijeljenih usluga (CDU).</t>
  </si>
  <si>
    <t>Dostava točnih i potpunih podataka važna je za donošenje strateških odluka vezanih uz modernizaciju, konsolidaciju i racionalizaciju informacijske infrastrukture u javnom sektoru.</t>
  </si>
  <si>
    <t>Naziv tijela</t>
  </si>
  <si>
    <t>OIB</t>
  </si>
  <si>
    <t>Kontakt</t>
  </si>
  <si>
    <t>Email</t>
  </si>
  <si>
    <t>Broj DC/server soba</t>
  </si>
  <si>
    <t>Realizirani/plaćeni troškovi (EUR)</t>
  </si>
  <si>
    <t>Dodatni - Planirani troškovi (EUR)</t>
  </si>
  <si>
    <t>Kategorija - (hardware)</t>
  </si>
  <si>
    <t>2024</t>
  </si>
  <si>
    <t>2025</t>
  </si>
  <si>
    <t>2026</t>
  </si>
  <si>
    <t>Napomena</t>
  </si>
  <si>
    <t>Serveri - fizički strojevi i pohrana podataka</t>
  </si>
  <si>
    <t>Mrežna oprema</t>
  </si>
  <si>
    <t>UPS uređaji</t>
  </si>
  <si>
    <t>Rack/ormari za fizičke strojeve</t>
  </si>
  <si>
    <t>Hlađenje - klima</t>
  </si>
  <si>
    <t>Backup uređaji</t>
  </si>
  <si>
    <t>Pasivna mreža</t>
  </si>
  <si>
    <t>Ostalo</t>
  </si>
  <si>
    <t>Kategorija -  - održavanje</t>
  </si>
  <si>
    <t>Serveri</t>
  </si>
  <si>
    <t>Storage</t>
  </si>
  <si>
    <t>Mreža</t>
  </si>
  <si>
    <t>Firewall</t>
  </si>
  <si>
    <t>Backup</t>
  </si>
  <si>
    <t>Kategorija</t>
  </si>
  <si>
    <t>Virtualizacijski sustav</t>
  </si>
  <si>
    <t>Backup sustav</t>
  </si>
  <si>
    <t>Antivirus</t>
  </si>
  <si>
    <t>Operacijski sustavi (Linux, Microsoft...)</t>
  </si>
  <si>
    <t>Baze podataka (Oracle DB,  Microsoft Sql server...)</t>
  </si>
  <si>
    <t>Trošak</t>
  </si>
  <si>
    <t>Električna energija</t>
  </si>
  <si>
    <t>Servis i održavanje klime, UPS, Agregata, vatrodojava, fizička zaštita, vatrozaštita...</t>
  </si>
  <si>
    <t>Vanjska usluga održavanja servera i opreme</t>
  </si>
  <si>
    <t>Vrsta zakupljene usluge</t>
  </si>
  <si>
    <t>Azure</t>
  </si>
  <si>
    <t>AWS</t>
  </si>
  <si>
    <t>Google</t>
  </si>
  <si>
    <t>Lokalni provideri (HT, A1, Data box...)</t>
  </si>
  <si>
    <t>Navesti koji pružatelj usluge</t>
  </si>
  <si>
    <t>Stavka</t>
  </si>
  <si>
    <t>Količina</t>
  </si>
  <si>
    <t>Instalirani/Zauzeti resursi</t>
  </si>
  <si>
    <t>Ukupno dostupni okvirni kapaciteti/resursi</t>
  </si>
  <si>
    <t>Fizički server</t>
  </si>
  <si>
    <t>Ukupan broj kom</t>
  </si>
  <si>
    <t>Virtualne mašine</t>
  </si>
  <si>
    <t>Ukupan broj VM</t>
  </si>
  <si>
    <t>Kapacitet/Storage</t>
  </si>
  <si>
    <t>Ukupna količina (GB)</t>
  </si>
  <si>
    <t>Ormari/Rack</t>
  </si>
  <si>
    <t>Disaster recovery site</t>
  </si>
  <si>
    <t>Da/ne</t>
  </si>
  <si>
    <t>NP</t>
  </si>
  <si>
    <t>APIS IT d.o.o.</t>
  </si>
  <si>
    <t>02994650199</t>
  </si>
  <si>
    <t>OPEX</t>
  </si>
  <si>
    <t>Mainframe + Power + x86 + enterprise storage</t>
  </si>
  <si>
    <t>većina održavanja na period od 5 godina je uključena u nabavnu cijenu (capex)</t>
  </si>
  <si>
    <t>ured sigurnsti</t>
  </si>
  <si>
    <t>CAPEX - IBM+ostalo</t>
  </si>
  <si>
    <t>Ostalo capex</t>
  </si>
  <si>
    <t>Ostalo opex</t>
  </si>
  <si>
    <t>OPEX - IBM+ostalo</t>
  </si>
  <si>
    <t>Ivan Huzjak</t>
  </si>
  <si>
    <t>ivan.huzjak@apis-it.hr</t>
  </si>
  <si>
    <t>2/6</t>
  </si>
  <si>
    <t>cca 240</t>
  </si>
  <si>
    <t>Mainframe + Power + X86</t>
  </si>
  <si>
    <t>Data Centar Jaska</t>
  </si>
  <si>
    <t>Data Centar APIS, Paljetkova</t>
  </si>
  <si>
    <t>cca 185</t>
  </si>
  <si>
    <t>Da</t>
  </si>
  <si>
    <t>Rad djelatnika APIS 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</si>
</sst>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rgb="FFFF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7" fillId="0" borderId="0" xfId="0" applyFon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wrapText="1"/>
    </xf>
    <xf numFmtId="0" fontId="0" fillId="0" borderId="0" xfId="0" quotePrefix="1"/>
    <xf numFmtId="0" fontId="9" fillId="0" borderId="0" xfId="1"/>
    <xf numFmtId="4" fontId="1" fillId="2" borderId="1" xfId="0" applyNumberFormat="1" applyFont="1" applyFill="1" applyBorder="1" applyAlignment="1">
      <alignment horizontal="center" vertical="center"/>
    </xf>
    <xf numFmtId="4" fontId="0" fillId="0" borderId="0" xfId="0" applyNumberFormat="1"/>
    <xf numFmtId="3" fontId="0" fillId="0" borderId="1" xfId="0" applyNumberFormat="1" applyBorder="1"/>
    <xf numFmtId="0" fontId="3" fillId="0" borderId="6" xfId="0" applyFont="1" applyBorder="1"/>
    <xf numFmtId="0" fontId="3" fillId="0" borderId="0" xfId="0" applyFont="1"/>
    <xf numFmtId="4" fontId="0" fillId="0" borderId="1" xfId="0" applyNumberFormat="1" applyBorder="1"/>
    <xf numFmtId="4" fontId="0" fillId="0" borderId="3" xfId="0" applyNumberFormat="1" applyBorder="1"/>
    <xf numFmtId="3" fontId="0" fillId="0" borderId="7" xfId="0" applyNumberFormat="1" applyBorder="1"/>
    <xf numFmtId="16" fontId="0" fillId="0" borderId="0" xfId="0" quotePrefix="1" applyNumberFormat="1"/>
    <xf numFmtId="0" fontId="11" fillId="0" borderId="0" xfId="0" applyFont="1"/>
    <xf numFmtId="0" fontId="10" fillId="0" borderId="0" xfId="0" applyFont="1"/>
    <xf numFmtId="3" fontId="0" fillId="0" borderId="1" xfId="0" applyNumberFormat="1" applyBorder="1" applyAlignment="1">
      <alignment wrapText="1"/>
    </xf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van.huzjak@apis-it.h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20" sqref="A20"/>
    </sheetView>
  </sheetViews>
  <sheetFormatPr defaultRowHeight="14.4" x14ac:dyDescent="0.3"/>
  <sheetData>
    <row r="1" spans="1:1" ht="18" x14ac:dyDescent="0.35">
      <c r="A1" s="6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10" spans="1:1" x14ac:dyDescent="0.3">
      <c r="A10" s="2" t="s">
        <v>4</v>
      </c>
    </row>
    <row r="11" spans="1:1" x14ac:dyDescent="0.3">
      <c r="A11" s="2" t="s">
        <v>5</v>
      </c>
    </row>
    <row r="12" spans="1:1" x14ac:dyDescent="0.3">
      <c r="A12" s="8" t="s">
        <v>6</v>
      </c>
    </row>
    <row r="13" spans="1:1" x14ac:dyDescent="0.3">
      <c r="A13" s="2" t="s">
        <v>7</v>
      </c>
    </row>
    <row r="14" spans="1:1" x14ac:dyDescent="0.3">
      <c r="A14" s="2" t="s">
        <v>8</v>
      </c>
    </row>
    <row r="15" spans="1:1" x14ac:dyDescent="0.3">
      <c r="A15" s="2" t="s">
        <v>9</v>
      </c>
    </row>
    <row r="16" spans="1:1" x14ac:dyDescent="0.3">
      <c r="A16" s="8" t="s">
        <v>10</v>
      </c>
    </row>
    <row r="17" spans="1:1" x14ac:dyDescent="0.3">
      <c r="A17" s="7" t="s">
        <v>11</v>
      </c>
    </row>
    <row r="20" spans="1:1" x14ac:dyDescent="0.3">
      <c r="A20" t="s">
        <v>12</v>
      </c>
    </row>
    <row r="22" spans="1:1" x14ac:dyDescent="0.3">
      <c r="A22" t="s">
        <v>13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E3" sqref="E3"/>
    </sheetView>
  </sheetViews>
  <sheetFormatPr defaultRowHeight="14.4" x14ac:dyDescent="0.3"/>
  <cols>
    <col min="1" max="1" width="46.6640625" customWidth="1"/>
    <col min="2" max="2" width="12" bestFit="1" customWidth="1"/>
    <col min="3" max="3" width="20.33203125" customWidth="1"/>
    <col min="4" max="4" width="34" bestFit="1" customWidth="1"/>
    <col min="5" max="5" width="18.33203125" bestFit="1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t="s">
        <v>70</v>
      </c>
      <c r="B2" s="13" t="s">
        <v>71</v>
      </c>
      <c r="C2" t="s">
        <v>80</v>
      </c>
      <c r="D2" s="14" t="s">
        <v>81</v>
      </c>
      <c r="E2" s="23" t="s">
        <v>82</v>
      </c>
    </row>
  </sheetData>
  <hyperlinks>
    <hyperlink ref="D2" r:id="rId1" xr:uid="{EF624E94-13FB-4A7E-A5D1-34CE1BE5D1F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E14" sqref="E14"/>
    </sheetView>
  </sheetViews>
  <sheetFormatPr defaultRowHeight="15" customHeight="1" x14ac:dyDescent="0.3"/>
  <cols>
    <col min="1" max="1" width="27.33203125" customWidth="1"/>
    <col min="2" max="4" width="17.88671875" style="16" customWidth="1"/>
    <col min="5" max="7" width="17.88671875" customWidth="1"/>
    <col min="8" max="8" width="32.88671875" customWidth="1"/>
    <col min="9" max="9" width="11" bestFit="1" customWidth="1"/>
  </cols>
  <sheetData>
    <row r="1" spans="1:11" ht="14.4" customHeight="1" x14ac:dyDescent="0.3">
      <c r="A1" s="3"/>
      <c r="B1" s="27" t="s">
        <v>19</v>
      </c>
      <c r="C1" s="27"/>
      <c r="D1" s="27"/>
      <c r="E1" s="28" t="s">
        <v>20</v>
      </c>
      <c r="F1" s="28"/>
      <c r="G1" s="28"/>
      <c r="H1" s="3"/>
    </row>
    <row r="2" spans="1:11" ht="14.4" x14ac:dyDescent="0.3">
      <c r="A2" s="4" t="s">
        <v>21</v>
      </c>
      <c r="B2" s="15" t="s">
        <v>22</v>
      </c>
      <c r="C2" s="15" t="s">
        <v>23</v>
      </c>
      <c r="D2" s="15" t="s">
        <v>24</v>
      </c>
      <c r="E2" s="5">
        <v>2026</v>
      </c>
      <c r="F2" s="5">
        <v>2027</v>
      </c>
      <c r="G2" s="5">
        <v>2028</v>
      </c>
      <c r="H2" s="4" t="s">
        <v>25</v>
      </c>
    </row>
    <row r="3" spans="1:11" ht="28.8" x14ac:dyDescent="0.3">
      <c r="A3" s="12" t="s">
        <v>26</v>
      </c>
      <c r="B3" s="16">
        <f>273320+5800000</f>
        <v>6073320</v>
      </c>
      <c r="C3" s="16">
        <v>842980</v>
      </c>
      <c r="D3" s="17"/>
      <c r="E3" s="17">
        <v>1085700</v>
      </c>
      <c r="F3" s="17">
        <v>2000000</v>
      </c>
      <c r="G3" s="17">
        <v>5500000</v>
      </c>
      <c r="H3" s="26" t="s">
        <v>73</v>
      </c>
      <c r="I3" s="18"/>
      <c r="J3" s="19"/>
      <c r="K3" s="19"/>
    </row>
    <row r="4" spans="1:11" ht="14.4" x14ac:dyDescent="0.3">
      <c r="A4" s="3" t="s">
        <v>27</v>
      </c>
      <c r="B4" s="17">
        <v>770336.14000000013</v>
      </c>
      <c r="C4" s="17">
        <v>2438628.2400000002</v>
      </c>
      <c r="D4" s="17"/>
      <c r="E4" s="17">
        <v>800000</v>
      </c>
      <c r="F4" s="17">
        <v>1000000</v>
      </c>
      <c r="G4" s="17">
        <v>800000</v>
      </c>
      <c r="H4" s="17"/>
    </row>
    <row r="5" spans="1:11" ht="14.4" x14ac:dyDescent="0.3">
      <c r="A5" s="3" t="s">
        <v>28</v>
      </c>
      <c r="B5" s="17">
        <v>279817.8</v>
      </c>
      <c r="C5" s="17">
        <v>120312.37</v>
      </c>
      <c r="D5" s="17"/>
      <c r="E5" s="17">
        <v>800000</v>
      </c>
      <c r="F5" s="17">
        <v>0</v>
      </c>
      <c r="G5" s="17">
        <v>0</v>
      </c>
      <c r="H5" s="17"/>
    </row>
    <row r="6" spans="1:11" ht="14.4" x14ac:dyDescent="0.3">
      <c r="A6" s="3" t="s">
        <v>29</v>
      </c>
      <c r="B6" s="17">
        <v>115030</v>
      </c>
      <c r="C6" s="17">
        <v>308600</v>
      </c>
      <c r="D6" s="17">
        <v>0</v>
      </c>
      <c r="E6" s="17">
        <v>0</v>
      </c>
      <c r="F6" s="17">
        <v>0</v>
      </c>
      <c r="G6" s="17">
        <v>0</v>
      </c>
      <c r="H6" s="17"/>
    </row>
    <row r="7" spans="1:11" ht="14.4" x14ac:dyDescent="0.3">
      <c r="A7" s="3" t="s">
        <v>30</v>
      </c>
      <c r="B7" s="17"/>
      <c r="C7" s="17">
        <v>1028.2</v>
      </c>
      <c r="D7" s="17"/>
      <c r="E7" s="17">
        <v>77000</v>
      </c>
      <c r="F7" s="17">
        <v>0</v>
      </c>
      <c r="G7" s="17">
        <v>0</v>
      </c>
      <c r="H7" s="17"/>
    </row>
    <row r="8" spans="1:11" ht="14.4" x14ac:dyDescent="0.3">
      <c r="A8" s="3" t="s">
        <v>31</v>
      </c>
      <c r="B8" s="17"/>
      <c r="C8" s="17">
        <v>2649</v>
      </c>
      <c r="D8" s="17">
        <v>149000</v>
      </c>
      <c r="E8" s="17">
        <v>0</v>
      </c>
      <c r="F8" s="17">
        <v>0</v>
      </c>
      <c r="G8" s="17">
        <v>0</v>
      </c>
      <c r="H8" s="17"/>
    </row>
    <row r="9" spans="1:11" ht="14.4" x14ac:dyDescent="0.3">
      <c r="A9" s="3" t="s">
        <v>32</v>
      </c>
      <c r="B9" s="17"/>
      <c r="C9" s="17"/>
      <c r="D9" s="17"/>
      <c r="E9" s="17"/>
      <c r="F9" s="17"/>
      <c r="G9" s="17"/>
      <c r="H9" s="17"/>
    </row>
    <row r="10" spans="1:11" ht="14.4" x14ac:dyDescent="0.3">
      <c r="A10" s="3" t="s">
        <v>33</v>
      </c>
      <c r="B10" s="17">
        <v>68826</v>
      </c>
      <c r="C10" s="17"/>
      <c r="D10" s="17"/>
      <c r="E10" s="17"/>
      <c r="F10" s="17"/>
      <c r="G10" s="17"/>
      <c r="H10" s="17"/>
    </row>
    <row r="11" spans="1:11" ht="15" customHeight="1" x14ac:dyDescent="0.3">
      <c r="E11" s="22"/>
      <c r="F11" s="22"/>
      <c r="G11" s="22"/>
      <c r="I11" s="24"/>
    </row>
  </sheetData>
  <mergeCells count="2">
    <mergeCell ref="B1:D1"/>
    <mergeCell ref="E1:G1"/>
  </mergeCell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>
      <selection activeCell="I9" sqref="I9"/>
    </sheetView>
  </sheetViews>
  <sheetFormatPr defaultRowHeight="14.4" x14ac:dyDescent="0.3"/>
  <cols>
    <col min="1" max="1" width="40.109375" customWidth="1"/>
    <col min="2" max="7" width="14.109375" customWidth="1"/>
    <col min="8" max="8" width="32.5546875" customWidth="1"/>
  </cols>
  <sheetData>
    <row r="1" spans="1:9" ht="14.4" customHeight="1" x14ac:dyDescent="0.3">
      <c r="A1" s="3"/>
      <c r="B1" s="28" t="s">
        <v>19</v>
      </c>
      <c r="C1" s="28"/>
      <c r="D1" s="28"/>
      <c r="E1" s="28" t="s">
        <v>20</v>
      </c>
      <c r="F1" s="28"/>
      <c r="G1" s="28"/>
      <c r="H1" s="3"/>
    </row>
    <row r="2" spans="1:9" ht="14.4" customHeight="1" x14ac:dyDescent="0.3">
      <c r="A2" s="5" t="s">
        <v>34</v>
      </c>
      <c r="B2" s="5" t="s">
        <v>22</v>
      </c>
      <c r="C2" s="5" t="s">
        <v>23</v>
      </c>
      <c r="D2" s="5">
        <v>2026</v>
      </c>
      <c r="E2" s="5">
        <v>2026</v>
      </c>
      <c r="F2" s="5">
        <v>2027</v>
      </c>
      <c r="G2" s="5">
        <v>2028</v>
      </c>
      <c r="H2" s="4" t="s">
        <v>25</v>
      </c>
    </row>
    <row r="3" spans="1:9" ht="48" customHeight="1" x14ac:dyDescent="0.3">
      <c r="A3" s="3" t="s">
        <v>35</v>
      </c>
      <c r="B3" s="17">
        <v>20000</v>
      </c>
      <c r="C3" s="17">
        <v>67200</v>
      </c>
      <c r="D3" s="17">
        <v>25000</v>
      </c>
      <c r="E3" s="17">
        <v>45000</v>
      </c>
      <c r="F3" s="17">
        <v>40000</v>
      </c>
      <c r="G3" s="17">
        <v>40000</v>
      </c>
      <c r="H3" s="12" t="s">
        <v>74</v>
      </c>
    </row>
    <row r="4" spans="1:9" ht="14.4" customHeight="1" x14ac:dyDescent="0.3">
      <c r="A4" s="3" t="s">
        <v>36</v>
      </c>
      <c r="B4" s="17">
        <v>31200</v>
      </c>
      <c r="C4" s="17">
        <v>172600</v>
      </c>
      <c r="D4" s="17">
        <v>35000</v>
      </c>
      <c r="E4" s="17">
        <v>60000</v>
      </c>
      <c r="F4" s="17">
        <v>90000</v>
      </c>
      <c r="G4" s="17">
        <v>50000</v>
      </c>
      <c r="H4" s="3"/>
      <c r="I4" s="25"/>
    </row>
    <row r="5" spans="1:9" ht="14.4" customHeight="1" x14ac:dyDescent="0.3">
      <c r="A5" s="3" t="s">
        <v>37</v>
      </c>
      <c r="B5" s="17">
        <v>114410</v>
      </c>
      <c r="C5" s="17">
        <v>276000</v>
      </c>
      <c r="D5" s="17">
        <v>92000</v>
      </c>
      <c r="E5" s="17">
        <v>200000</v>
      </c>
      <c r="F5" s="17">
        <v>300000</v>
      </c>
      <c r="G5" s="17">
        <v>300000</v>
      </c>
      <c r="H5" s="3"/>
    </row>
    <row r="6" spans="1:9" ht="14.4" customHeight="1" x14ac:dyDescent="0.3">
      <c r="A6" s="3" t="s">
        <v>38</v>
      </c>
      <c r="B6" s="17"/>
      <c r="C6" s="17"/>
      <c r="D6" s="17"/>
      <c r="E6" s="17"/>
      <c r="F6" s="17"/>
      <c r="G6" s="17"/>
      <c r="H6" s="3"/>
    </row>
    <row r="7" spans="1:9" ht="14.4" customHeight="1" x14ac:dyDescent="0.3">
      <c r="A7" s="3" t="s">
        <v>39</v>
      </c>
      <c r="B7" s="17">
        <v>101100</v>
      </c>
      <c r="C7" s="17">
        <v>22200</v>
      </c>
      <c r="D7" s="17">
        <v>6000</v>
      </c>
      <c r="E7" s="17">
        <v>6000</v>
      </c>
      <c r="F7" s="17">
        <v>6000</v>
      </c>
      <c r="G7" s="17"/>
      <c r="H7" s="3"/>
    </row>
    <row r="8" spans="1:9" ht="14.4" customHeight="1" x14ac:dyDescent="0.3">
      <c r="A8" s="3" t="s">
        <v>33</v>
      </c>
      <c r="B8" s="17">
        <v>240000</v>
      </c>
      <c r="C8" s="17">
        <v>600000</v>
      </c>
      <c r="D8" s="17">
        <v>200000</v>
      </c>
      <c r="E8" s="17">
        <v>400000</v>
      </c>
      <c r="F8" s="17">
        <v>600000</v>
      </c>
      <c r="G8" s="17">
        <v>600000</v>
      </c>
      <c r="H8" s="3"/>
    </row>
  </sheetData>
  <mergeCells count="2"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6"/>
  <sheetViews>
    <sheetView workbookViewId="0">
      <selection activeCell="I19" sqref="I19"/>
    </sheetView>
  </sheetViews>
  <sheetFormatPr defaultRowHeight="14.4" x14ac:dyDescent="0.3"/>
  <cols>
    <col min="1" max="1" width="39.88671875" bestFit="1" customWidth="1"/>
    <col min="2" max="7" width="14.6640625" customWidth="1"/>
    <col min="8" max="8" width="19.33203125" bestFit="1" customWidth="1"/>
  </cols>
  <sheetData>
    <row r="1" spans="1:14" ht="14.4" customHeight="1" x14ac:dyDescent="0.3">
      <c r="A1" s="3"/>
      <c r="B1" s="28" t="s">
        <v>19</v>
      </c>
      <c r="C1" s="28"/>
      <c r="D1" s="28"/>
      <c r="E1" s="28" t="s">
        <v>20</v>
      </c>
      <c r="F1" s="28"/>
      <c r="G1" s="28"/>
      <c r="H1" s="3"/>
    </row>
    <row r="2" spans="1:14" ht="14.4" customHeight="1" x14ac:dyDescent="0.3">
      <c r="A2" s="4" t="s">
        <v>46</v>
      </c>
      <c r="B2" s="5" t="s">
        <v>22</v>
      </c>
      <c r="C2" s="5" t="s">
        <v>23</v>
      </c>
      <c r="D2" s="5" t="s">
        <v>24</v>
      </c>
      <c r="E2" s="5">
        <v>2026</v>
      </c>
      <c r="F2" s="5">
        <v>2027</v>
      </c>
      <c r="G2" s="5">
        <v>2028</v>
      </c>
      <c r="H2" s="4" t="s">
        <v>25</v>
      </c>
    </row>
    <row r="3" spans="1:14" ht="14.4" customHeight="1" x14ac:dyDescent="0.3">
      <c r="A3" s="3" t="s">
        <v>47</v>
      </c>
      <c r="B3" s="20">
        <v>1735358.86</v>
      </c>
      <c r="C3" s="20">
        <v>2060805.98</v>
      </c>
      <c r="D3" s="20"/>
      <c r="E3" s="20">
        <v>2617000</v>
      </c>
      <c r="F3" s="20">
        <v>2617000</v>
      </c>
      <c r="G3" s="20">
        <v>2617000</v>
      </c>
      <c r="H3" s="20"/>
    </row>
    <row r="4" spans="1:14" ht="33.75" customHeight="1" x14ac:dyDescent="0.3">
      <c r="A4" s="12" t="s">
        <v>48</v>
      </c>
      <c r="B4" s="20">
        <f>806418.43+99736.82</f>
        <v>906155.25</v>
      </c>
      <c r="C4" s="20">
        <f>763397.52+207951.71</f>
        <v>971349.23</v>
      </c>
      <c r="D4" s="20"/>
      <c r="E4" s="20">
        <v>2090138</v>
      </c>
      <c r="F4" s="20">
        <v>2078338</v>
      </c>
      <c r="G4" s="20">
        <v>2078338</v>
      </c>
      <c r="H4" s="20"/>
    </row>
    <row r="5" spans="1:14" x14ac:dyDescent="0.3">
      <c r="A5" s="10" t="s">
        <v>49</v>
      </c>
      <c r="B5" s="20"/>
      <c r="C5" s="20"/>
      <c r="D5" s="20"/>
      <c r="E5" s="20"/>
      <c r="F5" s="20"/>
      <c r="G5" s="20"/>
      <c r="H5" s="20"/>
      <c r="J5" s="24"/>
      <c r="K5" s="24"/>
      <c r="L5" s="24"/>
      <c r="M5" s="24"/>
      <c r="N5" s="24"/>
    </row>
    <row r="6" spans="1:14" x14ac:dyDescent="0.3">
      <c r="A6" s="9" t="s">
        <v>33</v>
      </c>
      <c r="B6" s="21">
        <v>603750</v>
      </c>
      <c r="C6" s="20">
        <v>615250</v>
      </c>
      <c r="D6" s="20">
        <v>212749.99999999997</v>
      </c>
      <c r="E6" s="20">
        <v>425499.99999999994</v>
      </c>
      <c r="F6" s="20">
        <v>655500</v>
      </c>
      <c r="G6" s="20">
        <v>684250</v>
      </c>
      <c r="H6" s="20" t="s">
        <v>89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A4" sqref="A4"/>
    </sheetView>
  </sheetViews>
  <sheetFormatPr defaultRowHeight="14.4" x14ac:dyDescent="0.3"/>
  <cols>
    <col min="1" max="1" width="44.6640625" customWidth="1"/>
    <col min="2" max="2" width="17.109375" customWidth="1"/>
    <col min="3" max="3" width="15" customWidth="1"/>
    <col min="4" max="4" width="15.6640625" customWidth="1"/>
    <col min="5" max="5" width="13.5546875" customWidth="1"/>
    <col min="6" max="6" width="15.5546875" customWidth="1"/>
    <col min="7" max="7" width="15.6640625" customWidth="1"/>
    <col min="8" max="8" width="18.44140625" bestFit="1" customWidth="1"/>
  </cols>
  <sheetData>
    <row r="1" spans="1:8" ht="14.4" customHeight="1" x14ac:dyDescent="0.3">
      <c r="A1" s="3"/>
      <c r="B1" s="28" t="s">
        <v>19</v>
      </c>
      <c r="C1" s="28"/>
      <c r="D1" s="28"/>
      <c r="E1" s="28" t="s">
        <v>20</v>
      </c>
      <c r="F1" s="28"/>
      <c r="G1" s="28"/>
      <c r="H1" s="3"/>
    </row>
    <row r="2" spans="1:8" ht="14.4" customHeight="1" x14ac:dyDescent="0.3">
      <c r="A2" s="4" t="s">
        <v>40</v>
      </c>
      <c r="B2" s="5" t="s">
        <v>22</v>
      </c>
      <c r="C2" s="5" t="s">
        <v>23</v>
      </c>
      <c r="D2" s="5" t="s">
        <v>24</v>
      </c>
      <c r="E2" s="5">
        <v>2026</v>
      </c>
      <c r="F2" s="5">
        <v>2027</v>
      </c>
      <c r="G2" s="5">
        <v>2028</v>
      </c>
      <c r="H2" s="4" t="s">
        <v>25</v>
      </c>
    </row>
    <row r="3" spans="1:8" ht="14.4" customHeight="1" x14ac:dyDescent="0.3">
      <c r="A3" s="3" t="s">
        <v>41</v>
      </c>
      <c r="B3" s="17">
        <v>150000</v>
      </c>
      <c r="C3" s="17">
        <v>150000</v>
      </c>
      <c r="D3" s="17">
        <v>150000</v>
      </c>
      <c r="E3" s="17">
        <v>150000</v>
      </c>
      <c r="F3" s="17">
        <v>150000</v>
      </c>
      <c r="G3" s="17">
        <v>100000</v>
      </c>
      <c r="H3" s="3"/>
    </row>
    <row r="4" spans="1:8" ht="14.4" customHeight="1" x14ac:dyDescent="0.3">
      <c r="A4" s="3" t="s">
        <v>42</v>
      </c>
      <c r="B4" s="17"/>
      <c r="C4" s="17"/>
      <c r="D4" s="17"/>
      <c r="E4" s="17"/>
      <c r="F4" s="17"/>
      <c r="G4" s="17"/>
      <c r="H4" s="3"/>
    </row>
    <row r="5" spans="1:8" ht="14.4" customHeight="1" x14ac:dyDescent="0.3">
      <c r="A5" s="3" t="s">
        <v>43</v>
      </c>
      <c r="B5" s="17">
        <v>48000</v>
      </c>
      <c r="C5" s="17">
        <v>48000</v>
      </c>
      <c r="D5" s="17">
        <v>16000</v>
      </c>
      <c r="E5" s="17">
        <v>32000</v>
      </c>
      <c r="F5" s="17">
        <v>55000</v>
      </c>
      <c r="G5" s="17">
        <v>55000</v>
      </c>
      <c r="H5" s="3" t="s">
        <v>75</v>
      </c>
    </row>
    <row r="6" spans="1:8" ht="14.4" customHeight="1" x14ac:dyDescent="0.3">
      <c r="A6" s="10" t="s">
        <v>44</v>
      </c>
      <c r="B6" s="17">
        <v>250688.39</v>
      </c>
      <c r="C6" s="17">
        <v>506150.07</v>
      </c>
      <c r="D6" s="17"/>
      <c r="E6" s="17">
        <v>400000</v>
      </c>
      <c r="F6" s="17">
        <v>400000</v>
      </c>
      <c r="G6" s="17">
        <v>400000</v>
      </c>
      <c r="H6" s="3" t="s">
        <v>72</v>
      </c>
    </row>
    <row r="7" spans="1:8" ht="14.4" customHeight="1" x14ac:dyDescent="0.3">
      <c r="A7" s="9" t="s">
        <v>45</v>
      </c>
      <c r="B7" s="17">
        <v>479169</v>
      </c>
      <c r="C7" s="17">
        <v>541904.01</v>
      </c>
      <c r="D7" s="17"/>
      <c r="E7" s="17">
        <v>620000</v>
      </c>
      <c r="F7" s="17">
        <v>620000</v>
      </c>
      <c r="G7" s="17">
        <v>620000</v>
      </c>
      <c r="H7" s="3" t="s">
        <v>72</v>
      </c>
    </row>
    <row r="8" spans="1:8" ht="14.4" customHeight="1" x14ac:dyDescent="0.3">
      <c r="A8" s="11" t="s">
        <v>77</v>
      </c>
      <c r="B8" s="17">
        <v>380000</v>
      </c>
      <c r="C8" s="17">
        <v>206000</v>
      </c>
      <c r="D8" s="17"/>
      <c r="E8" s="17">
        <v>820000</v>
      </c>
      <c r="F8" s="17">
        <v>6000000</v>
      </c>
      <c r="G8" s="17">
        <v>1000000</v>
      </c>
      <c r="H8" s="3" t="s">
        <v>76</v>
      </c>
    </row>
    <row r="9" spans="1:8" ht="14.4" customHeight="1" x14ac:dyDescent="0.3">
      <c r="A9" s="11" t="s">
        <v>78</v>
      </c>
      <c r="B9" s="17">
        <v>3588799.93</v>
      </c>
      <c r="C9" s="17">
        <v>4579529.6900000004</v>
      </c>
      <c r="D9" s="17"/>
      <c r="E9" s="17">
        <v>4200000</v>
      </c>
      <c r="F9" s="17">
        <f>+E9</f>
        <v>4200000</v>
      </c>
      <c r="G9" s="17">
        <f>+F9</f>
        <v>4200000</v>
      </c>
      <c r="H9" s="3" t="s">
        <v>79</v>
      </c>
    </row>
  </sheetData>
  <mergeCells count="2">
    <mergeCell ref="B1:D1"/>
    <mergeCell ref="E1:G1"/>
  </mergeCells>
  <dataValidations count="1">
    <dataValidation type="list" sqref="G3:G6 G8:G97" xr:uid="{00000000-0002-0000-0300-000000000000}">
      <formula1>"CAPEX,OPEX"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workbookViewId="0">
      <selection activeCell="K24" sqref="J24:K24"/>
    </sheetView>
  </sheetViews>
  <sheetFormatPr defaultRowHeight="14.4" x14ac:dyDescent="0.3"/>
  <cols>
    <col min="1" max="1" width="34" bestFit="1" customWidth="1"/>
    <col min="2" max="7" width="15.88671875" customWidth="1"/>
    <col min="8" max="8" width="25.88671875" bestFit="1" customWidth="1"/>
  </cols>
  <sheetData>
    <row r="1" spans="1:8" ht="14.4" customHeight="1" x14ac:dyDescent="0.3">
      <c r="A1" s="3"/>
      <c r="B1" s="28" t="s">
        <v>19</v>
      </c>
      <c r="C1" s="28"/>
      <c r="D1" s="28"/>
      <c r="E1" s="28" t="s">
        <v>20</v>
      </c>
      <c r="F1" s="28"/>
      <c r="G1" s="28"/>
      <c r="H1" s="3"/>
    </row>
    <row r="2" spans="1:8" ht="14.4" customHeight="1" x14ac:dyDescent="0.3">
      <c r="A2" s="4" t="s">
        <v>50</v>
      </c>
      <c r="B2" s="5" t="s">
        <v>22</v>
      </c>
      <c r="C2" s="5" t="s">
        <v>23</v>
      </c>
      <c r="D2" s="5" t="s">
        <v>24</v>
      </c>
      <c r="E2" s="5">
        <v>2026</v>
      </c>
      <c r="F2" s="5">
        <v>2027</v>
      </c>
      <c r="G2" s="5">
        <v>2028</v>
      </c>
      <c r="H2" s="4" t="s">
        <v>25</v>
      </c>
    </row>
    <row r="3" spans="1:8" ht="14.4" customHeight="1" x14ac:dyDescent="0.3">
      <c r="A3" s="3" t="s">
        <v>51</v>
      </c>
      <c r="B3" s="3"/>
      <c r="C3" s="3"/>
      <c r="D3" s="3"/>
      <c r="E3" s="3"/>
      <c r="F3" s="3"/>
      <c r="G3" s="3"/>
      <c r="H3" s="3"/>
    </row>
    <row r="4" spans="1:8" ht="14.4" customHeight="1" x14ac:dyDescent="0.3">
      <c r="A4" s="3" t="s">
        <v>52</v>
      </c>
      <c r="B4" s="3"/>
      <c r="C4" s="3"/>
      <c r="D4" s="3"/>
      <c r="E4" s="3"/>
      <c r="F4" s="3"/>
      <c r="G4" s="3"/>
      <c r="H4" s="3"/>
    </row>
    <row r="5" spans="1:8" ht="14.4" customHeight="1" x14ac:dyDescent="0.3">
      <c r="A5" s="3" t="s">
        <v>53</v>
      </c>
      <c r="B5" s="3"/>
      <c r="C5" s="3"/>
      <c r="D5" s="3"/>
      <c r="E5" s="3"/>
      <c r="F5" s="3"/>
      <c r="G5" s="3"/>
      <c r="H5" s="3"/>
    </row>
    <row r="6" spans="1:8" ht="14.4" customHeight="1" x14ac:dyDescent="0.3">
      <c r="A6" s="3" t="s">
        <v>54</v>
      </c>
      <c r="B6" s="3"/>
      <c r="C6" s="3"/>
      <c r="D6" s="3"/>
      <c r="E6" s="3"/>
      <c r="F6" s="3"/>
      <c r="G6" s="3"/>
      <c r="H6" s="3" t="s">
        <v>55</v>
      </c>
    </row>
    <row r="7" spans="1:8" ht="14.4" customHeight="1" x14ac:dyDescent="0.3">
      <c r="A7" s="3" t="s">
        <v>33</v>
      </c>
      <c r="B7" s="3"/>
      <c r="C7" s="3"/>
      <c r="D7" s="3"/>
      <c r="E7" s="3"/>
      <c r="F7" s="3"/>
      <c r="G7" s="3"/>
      <c r="H7" s="3"/>
    </row>
  </sheetData>
  <mergeCells count="2">
    <mergeCell ref="B1:D1"/>
    <mergeCell ref="E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E19"/>
  <sheetViews>
    <sheetView workbookViewId="0">
      <selection activeCell="D28" sqref="D28"/>
    </sheetView>
  </sheetViews>
  <sheetFormatPr defaultRowHeight="14.4" x14ac:dyDescent="0.3"/>
  <cols>
    <col min="1" max="2" width="19.6640625" customWidth="1"/>
    <col min="3" max="3" width="26.88671875" customWidth="1"/>
    <col min="4" max="4" width="39.109375" customWidth="1"/>
    <col min="5" max="5" width="26.5546875" bestFit="1" customWidth="1"/>
  </cols>
  <sheetData>
    <row r="2" spans="1:5" x14ac:dyDescent="0.3">
      <c r="A2" t="s">
        <v>86</v>
      </c>
    </row>
    <row r="3" spans="1:5" x14ac:dyDescent="0.3">
      <c r="A3" s="5" t="s">
        <v>56</v>
      </c>
      <c r="B3" s="5" t="s">
        <v>57</v>
      </c>
      <c r="C3" s="5" t="s">
        <v>58</v>
      </c>
      <c r="D3" s="5" t="s">
        <v>59</v>
      </c>
      <c r="E3" s="4" t="s">
        <v>25</v>
      </c>
    </row>
    <row r="4" spans="1:5" x14ac:dyDescent="0.3">
      <c r="A4" s="3" t="s">
        <v>60</v>
      </c>
      <c r="B4" s="3" t="s">
        <v>61</v>
      </c>
      <c r="C4" s="17">
        <v>90</v>
      </c>
      <c r="D4" s="17"/>
      <c r="E4" s="3" t="s">
        <v>84</v>
      </c>
    </row>
    <row r="5" spans="1:5" x14ac:dyDescent="0.3">
      <c r="A5" s="3" t="s">
        <v>62</v>
      </c>
      <c r="B5" s="3" t="s">
        <v>63</v>
      </c>
      <c r="C5" s="17">
        <v>555</v>
      </c>
      <c r="D5" s="17" t="s">
        <v>83</v>
      </c>
      <c r="E5" s="3" t="s">
        <v>84</v>
      </c>
    </row>
    <row r="6" spans="1:5" x14ac:dyDescent="0.3">
      <c r="A6" s="3" t="s">
        <v>64</v>
      </c>
      <c r="B6" s="3" t="s">
        <v>65</v>
      </c>
      <c r="C6" s="17">
        <v>2122078</v>
      </c>
      <c r="D6" s="17">
        <v>1310370</v>
      </c>
      <c r="E6" s="3"/>
    </row>
    <row r="7" spans="1:5" x14ac:dyDescent="0.3">
      <c r="A7" s="3" t="s">
        <v>66</v>
      </c>
      <c r="B7" s="3" t="s">
        <v>61</v>
      </c>
      <c r="C7" s="17">
        <v>39</v>
      </c>
      <c r="D7" s="17">
        <v>13</v>
      </c>
      <c r="E7" s="3" t="s">
        <v>55</v>
      </c>
    </row>
    <row r="8" spans="1:5" x14ac:dyDescent="0.3">
      <c r="A8" s="3"/>
      <c r="B8" s="3"/>
      <c r="C8" s="17"/>
      <c r="D8" s="17"/>
      <c r="E8" s="3"/>
    </row>
    <row r="9" spans="1:5" x14ac:dyDescent="0.3">
      <c r="A9" s="3" t="s">
        <v>67</v>
      </c>
      <c r="B9" s="3" t="s">
        <v>68</v>
      </c>
      <c r="C9" s="17"/>
      <c r="D9" s="17" t="s">
        <v>69</v>
      </c>
      <c r="E9" s="3"/>
    </row>
    <row r="12" spans="1:5" x14ac:dyDescent="0.3">
      <c r="A12" t="s">
        <v>85</v>
      </c>
    </row>
    <row r="13" spans="1:5" x14ac:dyDescent="0.3">
      <c r="A13" s="5" t="s">
        <v>56</v>
      </c>
      <c r="B13" s="5" t="s">
        <v>57</v>
      </c>
      <c r="C13" s="5" t="s">
        <v>58</v>
      </c>
      <c r="D13" s="5" t="s">
        <v>59</v>
      </c>
      <c r="E13" s="4" t="s">
        <v>25</v>
      </c>
    </row>
    <row r="14" spans="1:5" x14ac:dyDescent="0.3">
      <c r="A14" s="3" t="s">
        <v>60</v>
      </c>
      <c r="B14" s="3" t="s">
        <v>61</v>
      </c>
      <c r="C14" s="17">
        <v>106</v>
      </c>
      <c r="D14" s="17">
        <v>7</v>
      </c>
      <c r="E14" s="3" t="s">
        <v>84</v>
      </c>
    </row>
    <row r="15" spans="1:5" x14ac:dyDescent="0.3">
      <c r="A15" s="3" t="s">
        <v>62</v>
      </c>
      <c r="B15" s="3" t="s">
        <v>63</v>
      </c>
      <c r="C15" s="17">
        <v>899</v>
      </c>
      <c r="D15" s="17" t="s">
        <v>87</v>
      </c>
      <c r="E15" s="3" t="s">
        <v>84</v>
      </c>
    </row>
    <row r="16" spans="1:5" x14ac:dyDescent="0.3">
      <c r="A16" s="3" t="s">
        <v>64</v>
      </c>
      <c r="B16" s="3" t="s">
        <v>65</v>
      </c>
      <c r="C16" s="17">
        <v>2182144</v>
      </c>
      <c r="D16" s="17">
        <v>1250304</v>
      </c>
      <c r="E16" s="3"/>
    </row>
    <row r="17" spans="1:5" x14ac:dyDescent="0.3">
      <c r="A17" s="3" t="s">
        <v>66</v>
      </c>
      <c r="B17" s="3" t="s">
        <v>61</v>
      </c>
      <c r="C17" s="17">
        <v>34</v>
      </c>
      <c r="D17" s="17">
        <v>3</v>
      </c>
      <c r="E17" s="3"/>
    </row>
    <row r="18" spans="1:5" x14ac:dyDescent="0.3">
      <c r="A18" s="3"/>
      <c r="B18" s="3"/>
      <c r="C18" s="17"/>
      <c r="D18" s="17"/>
      <c r="E18" s="3"/>
    </row>
    <row r="19" spans="1:5" x14ac:dyDescent="0.3">
      <c r="A19" s="3" t="s">
        <v>67</v>
      </c>
      <c r="B19" s="3" t="s">
        <v>68</v>
      </c>
      <c r="C19" s="17" t="s">
        <v>88</v>
      </c>
      <c r="D19" s="17" t="s">
        <v>69</v>
      </c>
      <c r="E19" s="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dfa35-9109-4acc-bb84-3c84c70e7f5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21D0C2F8F5E147B998BBB997AB9E05" ma:contentTypeVersion="9" ma:contentTypeDescription="Stvaranje novog dokumenta." ma:contentTypeScope="" ma:versionID="d252fc4e76bf008a89115bbdb923695b">
  <xsd:schema xmlns:xsd="http://www.w3.org/2001/XMLSchema" xmlns:xs="http://www.w3.org/2001/XMLSchema" xmlns:p="http://schemas.microsoft.com/office/2006/metadata/properties" xmlns:ns2="4bbdfa35-9109-4acc-bb84-3c84c70e7f5a" targetNamespace="http://schemas.microsoft.com/office/2006/metadata/properties" ma:root="true" ma:fieldsID="9fc52c5a34ecb89b665555e58c98f216" ns2:_="">
    <xsd:import namespace="4bbdfa35-9109-4acc-bb84-3c84c70e7f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dfa35-9109-4acc-bb84-3c84c70e7f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Oznake slika" ma:readOnly="false" ma:fieldId="{5cf76f15-5ced-4ddc-b409-7134ff3c332f}" ma:taxonomyMulti="true" ma:sspId="a4c4c9c2-d0a1-481c-9a66-73f7af12eb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0FDFEA-9168-4758-ABEB-64F8059F1D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37BE0B-9E5F-4A06-B590-8755C7D93F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F224B7C-2B37-4298-AA06-FDD7CEDBAB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Upute</vt:lpstr>
      <vt:lpstr>Opći podaci</vt:lpstr>
      <vt:lpstr>CAPEX infrastruktura</vt:lpstr>
      <vt:lpstr>Održavanje</vt:lpstr>
      <vt:lpstr>Operativni troškovi</vt:lpstr>
      <vt:lpstr>Licence i softver</vt:lpstr>
      <vt:lpstr>Cloud trošak po pružatelju</vt:lpstr>
      <vt:lpstr>Trenutno instalirani resursi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Boris Kikelj</dc:creator>
  <cp:keywords/>
  <dc:description/>
  <cp:lastModifiedBy>Saša Bilić</cp:lastModifiedBy>
  <cp:revision/>
  <dcterms:created xsi:type="dcterms:W3CDTF">2026-03-25T08:35:21Z</dcterms:created>
  <dcterms:modified xsi:type="dcterms:W3CDTF">2026-04-20T09:18:51Z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0x010100FE21D0C2F8F5E147B998BBB997AB9E05</vt:lpwstr>
  </property>
</Properties>
</file>